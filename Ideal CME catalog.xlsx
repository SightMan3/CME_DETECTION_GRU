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SPACE_LAB\event_categorization_prediction\"/>
    </mc:Choice>
  </mc:AlternateContent>
  <xr:revisionPtr revIDLastSave="0" documentId="13_ncr:1_{5946C6AB-1F5F-4781-A95B-AE6DD5E9D2CF}" xr6:coauthVersionLast="47" xr6:coauthVersionMax="47" xr10:uidLastSave="{00000000-0000-0000-0000-000000000000}"/>
  <bookViews>
    <workbookView xWindow="-103" yWindow="-103" windowWidth="24892" windowHeight="15943" activeTab="1" xr2:uid="{8F84A795-C74C-4B3E-A2CB-773868441B3F}"/>
  </bookViews>
  <sheets>
    <sheet name="Ideal CME catalog" sheetId="1" r:id="rId1"/>
    <sheet name="cactus CME cata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2" i="2"/>
  <c r="P5" i="1"/>
  <c r="P4" i="1"/>
  <c r="P3" i="1"/>
  <c r="P2" i="1"/>
  <c r="P6" i="1" s="1"/>
</calcChain>
</file>

<file path=xl/sharedStrings.xml><?xml version="1.0" encoding="utf-8"?>
<sst xmlns="http://schemas.openxmlformats.org/spreadsheetml/2006/main" count="162" uniqueCount="79">
  <si>
    <t>DST/SYM-H drop date</t>
  </si>
  <si>
    <t>CME eruption date</t>
  </si>
  <si>
    <t>Notes</t>
  </si>
  <si>
    <t>Is Ideal</t>
  </si>
  <si>
    <t>N</t>
  </si>
  <si>
    <t>Nice SYM-H drop, strong Bz, HALO, beta good. WARNING high T</t>
  </si>
  <si>
    <t>Nice SYM-H drop, strong Bz, T and beta good. WARNINGN no HALO</t>
  </si>
  <si>
    <t>strong Bz, Bz changing polarity, turbulent T, beta nice, multiple DST dips, followed by another storm</t>
  </si>
  <si>
    <t>Halo, strong -Bz, T fine, Beta fine, NO CHs data, good SYM-H drop</t>
  </si>
  <si>
    <t>Halo, strong -Bz, T fine, Beta fine, NO CHs data, little but weird SYM-H drop, very soft drop before the CME drop, could be SIR</t>
  </si>
  <si>
    <t>Halo, nice data, nice SYM-H drop, NO CHs data</t>
  </si>
  <si>
    <t>Y3</t>
  </si>
  <si>
    <t>Y1</t>
  </si>
  <si>
    <t>Y2</t>
  </si>
  <si>
    <t xml:space="preserve"> grades system</t>
  </si>
  <si>
    <t>I am certain</t>
  </si>
  <si>
    <t>pretty sure</t>
  </si>
  <si>
    <t>not sure</t>
  </si>
  <si>
    <t>absolutely not</t>
  </si>
  <si>
    <t>faint Halo, nice SYM-H drop, interesting Bz data, Beta good, WARNING: T is increased</t>
  </si>
  <si>
    <t>Two interacting CMEs</t>
  </si>
  <si>
    <t>Not halo, B chaotic, T chaotic</t>
  </si>
  <si>
    <t>Nice data, WARNING: no HALO</t>
  </si>
  <si>
    <t>Bz is rotating, also Bx and By, nice faint HALO, WARNING T high, B is kinda chaotic</t>
  </si>
  <si>
    <t>B chatoic</t>
  </si>
  <si>
    <t>The sheath is making temparature rise, but it is decreasing during the SYM-H depression, as also B becmes stable and L1/earth leaves sheath and enteres MC with Flux ropes. Could be a standard progress, nontheless sheath is during the biggest drop. From now on, this patter will be Y1</t>
  </si>
  <si>
    <t>Multiple CMEs visual confirmation, possible interaction, B data chaotic</t>
  </si>
  <si>
    <t>Halo, even though multiple visual CMEs. Possible no interaction as data are stable</t>
  </si>
  <si>
    <t>very faint HALO, B interesting</t>
  </si>
  <si>
    <t>T and beta good</t>
  </si>
  <si>
    <t>Very nice HALO, but data is kind bad</t>
  </si>
  <si>
    <t>Most beautiful CME, greatest MC ever witnessed</t>
  </si>
  <si>
    <t>Y1*</t>
  </si>
  <si>
    <t>Nice data, partly HALO</t>
  </si>
  <si>
    <t>Nice data, during drop T and Beat low, decent HALO</t>
  </si>
  <si>
    <t>Very nice data, HALO, but there is another CME or SIR right after, should be like flattened for training</t>
  </si>
  <si>
    <t>Nice B, the halo not so much, the depression is bad</t>
  </si>
  <si>
    <t>No halo</t>
  </si>
  <si>
    <t xml:space="preserve">Nice Halo, Nice data, </t>
  </si>
  <si>
    <t xml:space="preserve">Nice data, no HALO, </t>
  </si>
  <si>
    <t>Coronal Holes data from here on</t>
  </si>
  <si>
    <t>data bearable, not really halo</t>
  </si>
  <si>
    <t xml:space="preserve"> 2012-04-23 16:13</t>
  </si>
  <si>
    <t>Faint explosion, cant recognize ( almost unseeable). Nice drop, nice B</t>
  </si>
  <si>
    <t>Nice data, cant recognize HALO</t>
  </si>
  <si>
    <t>If note cell is red, then there are no coronal holes data availble, due to data missing or timeout for download</t>
  </si>
  <si>
    <t>Very good B, kinda halo, CH moderate</t>
  </si>
  <si>
    <t>CH revise</t>
  </si>
  <si>
    <t>No explosion visible, CH low, nice data</t>
  </si>
  <si>
    <t>Nice data, but two explosions on C3 images, CH medium</t>
  </si>
  <si>
    <t>no halo, data turbulent</t>
  </si>
  <si>
    <t>No halo, CH low, data ok</t>
  </si>
  <si>
    <t>Nice data, couldn’t download images</t>
  </si>
  <si>
    <t>No halo, CH severe, data chaotic</t>
  </si>
  <si>
    <t xml:space="preserve">No explosion visible, CH severe, but really nice data </t>
  </si>
  <si>
    <t>possible interaction of multiple explosions, data chaotic, CH medium</t>
  </si>
  <si>
    <t>multiple CMEs, posible intreaction with SW from big CH, data chaotic</t>
  </si>
  <si>
    <t>Nice data, no HALO, big CH</t>
  </si>
  <si>
    <t>faint halo, nice data, CH medium</t>
  </si>
  <si>
    <t>nice halo, CH moderate</t>
  </si>
  <si>
    <t>data turbulent, no halo, multiple explosions, lots of CHs</t>
  </si>
  <si>
    <t>Very big CH, data bad</t>
  </si>
  <si>
    <t>data bad, but nice halo, CH high</t>
  </si>
  <si>
    <t>data ok, halo ok, no CH</t>
  </si>
  <si>
    <t>no halo, CH low, data bad</t>
  </si>
  <si>
    <t>nice data, no halo, CH high</t>
  </si>
  <si>
    <t>Low CH, nice Halo, nice data</t>
  </si>
  <si>
    <t>NO halo, CH medium, ok data</t>
  </si>
  <si>
    <t>Yes</t>
  </si>
  <si>
    <t>Nice HALO</t>
  </si>
  <si>
    <t>Event start date</t>
  </si>
  <si>
    <t>Real v [km/s]</t>
  </si>
  <si>
    <t>approx v [km/s]</t>
  </si>
  <si>
    <t>Event onset time</t>
  </si>
  <si>
    <t>approx. onset time</t>
  </si>
  <si>
    <t>error v [km/s]</t>
  </si>
  <si>
    <t>Real AW [deg]</t>
  </si>
  <si>
    <t>HALO</t>
  </si>
  <si>
    <t>approx AW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</si>
</sst>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0" borderId="2" applyNumberFormat="0" applyFill="0" applyAlignment="0" applyProtection="0"/>
    <xf numFmtId="0" fontId="5" fillId="7" borderId="0" applyNumberFormat="0" applyBorder="0" applyAlignment="0" applyProtection="0"/>
    <xf numFmtId="0" fontId="1" fillId="8" borderId="3" applyNumberFormat="0" applyFont="0" applyAlignment="0" applyProtection="0"/>
  </cellStyleXfs>
  <cellXfs count="21">
    <xf numFmtId="0" fontId="0" fillId="0" borderId="0" xfId="0"/>
    <xf numFmtId="2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6" borderId="0" xfId="6" applyAlignment="1">
      <alignment horizontal="center" vertical="center"/>
    </xf>
    <xf numFmtId="0" fontId="1" fillId="5" borderId="0" xfId="5" applyAlignment="1">
      <alignment horizontal="center" vertical="center"/>
    </xf>
    <xf numFmtId="0" fontId="1" fillId="4" borderId="0" xfId="4" applyAlignment="1">
      <alignment horizontal="center" vertical="center"/>
    </xf>
    <xf numFmtId="0" fontId="1" fillId="3" borderId="0" xfId="3" applyAlignment="1">
      <alignment horizontal="center" vertical="center"/>
    </xf>
    <xf numFmtId="0" fontId="2" fillId="0" borderId="1" xfId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5" fillId="7" borderId="0" xfId="8" applyAlignment="1">
      <alignment horizontal="center" vertical="center" wrapText="1"/>
    </xf>
    <xf numFmtId="0" fontId="0" fillId="8" borderId="3" xfId="9" applyFont="1" applyAlignment="1">
      <alignment horizontal="center" vertical="center" wrapText="1"/>
    </xf>
    <xf numFmtId="0" fontId="3" fillId="2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1" applyAlignment="1">
      <alignment horizontal="center" vertical="center"/>
    </xf>
    <xf numFmtId="49" fontId="0" fillId="0" borderId="0" xfId="0" applyNumberFormat="1" applyAlignment="1">
      <alignment horizontal="left" vertical="top" wrapText="1"/>
    </xf>
    <xf numFmtId="0" fontId="4" fillId="0" borderId="2" xfId="7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0">
    <cellStyle name="20% - Accent3" xfId="4" builtinId="38"/>
    <cellStyle name="40% - Accent3" xfId="5" builtinId="39"/>
    <cellStyle name="60% - Accent2" xfId="3" builtinId="36"/>
    <cellStyle name="60% - Accent3" xfId="6" builtinId="40"/>
    <cellStyle name="Bad" xfId="8" builtinId="27"/>
    <cellStyle name="Heading 1" xfId="7" builtinId="16"/>
    <cellStyle name="Heading 2" xfId="1" builtinId="17"/>
    <cellStyle name="Neutral" xfId="2" builtinId="28"/>
    <cellStyle name="Normal" xfId="0" builtinId="0"/>
    <cellStyle name="Note" xfId="9" builtinId="10"/>
  </cellStyles>
  <dxfs count="4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C6D3-E3E5-4665-AE2A-B7450131A983}">
  <dimension ref="A1:P99"/>
  <sheetViews>
    <sheetView workbookViewId="0">
      <selection activeCell="N64" sqref="N64"/>
    </sheetView>
  </sheetViews>
  <sheetFormatPr defaultRowHeight="14.6" x14ac:dyDescent="0.4"/>
  <cols>
    <col min="3" max="3" width="10.07421875" customWidth="1"/>
    <col min="9" max="9" width="24" customWidth="1"/>
    <col min="15" max="15" width="18.53515625" customWidth="1"/>
  </cols>
  <sheetData>
    <row r="1" spans="1:16" s="2" customFormat="1" ht="40.85" customHeight="1" thickBot="1" x14ac:dyDescent="0.45">
      <c r="A1" s="17" t="s">
        <v>0</v>
      </c>
      <c r="B1" s="17"/>
      <c r="C1" s="17"/>
      <c r="D1" s="17" t="s">
        <v>1</v>
      </c>
      <c r="E1" s="17"/>
      <c r="F1" s="17"/>
      <c r="G1" s="17" t="s">
        <v>2</v>
      </c>
      <c r="H1" s="17"/>
      <c r="I1" s="17"/>
      <c r="J1" s="9" t="s">
        <v>3</v>
      </c>
      <c r="N1" s="15" t="s">
        <v>14</v>
      </c>
      <c r="O1" s="15"/>
    </row>
    <row r="2" spans="1:16" ht="44.6" customHeight="1" thickTop="1" x14ac:dyDescent="0.4">
      <c r="A2" s="12">
        <v>36107</v>
      </c>
      <c r="B2" s="12"/>
      <c r="C2" s="12"/>
      <c r="D2" s="12">
        <v>36104</v>
      </c>
      <c r="E2" s="12"/>
      <c r="F2" s="1">
        <v>0.11180555555555556</v>
      </c>
      <c r="G2" s="18" t="s">
        <v>7</v>
      </c>
      <c r="H2" s="18"/>
      <c r="I2" s="18"/>
      <c r="J2" s="3" t="s">
        <v>11</v>
      </c>
      <c r="N2" s="5" t="s">
        <v>12</v>
      </c>
      <c r="O2" s="5" t="s">
        <v>15</v>
      </c>
      <c r="P2">
        <f>COUNTIF(A:J, "Y1")</f>
        <v>16</v>
      </c>
    </row>
    <row r="3" spans="1:16" ht="26.15" customHeight="1" x14ac:dyDescent="0.4">
      <c r="A3" s="12">
        <v>36112</v>
      </c>
      <c r="B3" s="12"/>
      <c r="C3" s="12"/>
      <c r="D3" s="12"/>
      <c r="E3" s="12"/>
      <c r="F3" s="3"/>
      <c r="G3" s="16"/>
      <c r="H3" s="16"/>
      <c r="I3" s="16"/>
      <c r="J3" s="3" t="s">
        <v>4</v>
      </c>
      <c r="N3" s="6" t="s">
        <v>13</v>
      </c>
      <c r="O3" s="6" t="s">
        <v>16</v>
      </c>
      <c r="P3">
        <f>COUNTIF(A:J, "Y2")</f>
        <v>14</v>
      </c>
    </row>
    <row r="4" spans="1:16" ht="29.6" customHeight="1" x14ac:dyDescent="0.4">
      <c r="A4" s="12">
        <v>36425</v>
      </c>
      <c r="B4" s="12"/>
      <c r="C4" s="12"/>
      <c r="D4" s="12">
        <v>36423</v>
      </c>
      <c r="E4" s="12"/>
      <c r="F4" s="4">
        <v>0.25416666666666665</v>
      </c>
      <c r="G4" s="10" t="s">
        <v>6</v>
      </c>
      <c r="H4" s="10"/>
      <c r="I4" s="10"/>
      <c r="J4" s="3" t="s">
        <v>12</v>
      </c>
      <c r="N4" s="7" t="s">
        <v>11</v>
      </c>
      <c r="O4" s="7" t="s">
        <v>17</v>
      </c>
      <c r="P4">
        <f>COUNTIF(A:J, "Y3")</f>
        <v>12</v>
      </c>
    </row>
    <row r="5" spans="1:16" ht="33" customHeight="1" x14ac:dyDescent="0.4">
      <c r="A5" s="12">
        <v>36568</v>
      </c>
      <c r="B5" s="12"/>
      <c r="C5" s="12"/>
      <c r="D5" s="12">
        <v>36565</v>
      </c>
      <c r="E5" s="12"/>
      <c r="F5" s="4">
        <v>0.82916666666666672</v>
      </c>
      <c r="G5" s="16"/>
      <c r="H5" s="16"/>
      <c r="I5" s="16"/>
      <c r="J5" s="3" t="s">
        <v>4</v>
      </c>
      <c r="N5" s="8" t="s">
        <v>4</v>
      </c>
      <c r="O5" s="8" t="s">
        <v>18</v>
      </c>
      <c r="P5">
        <f>COUNTIF(A:J, "N")</f>
        <v>41</v>
      </c>
    </row>
    <row r="6" spans="1:16" ht="39.9" customHeight="1" x14ac:dyDescent="0.4">
      <c r="A6" s="12">
        <v>36623</v>
      </c>
      <c r="B6" s="12"/>
      <c r="C6" s="12"/>
      <c r="D6" s="12">
        <v>36620</v>
      </c>
      <c r="E6" s="12"/>
      <c r="F6" s="4">
        <v>0.68888888888888888</v>
      </c>
      <c r="G6" s="10" t="s">
        <v>5</v>
      </c>
      <c r="H6" s="10"/>
      <c r="I6" s="10"/>
      <c r="J6" s="3" t="s">
        <v>12</v>
      </c>
      <c r="N6" s="3"/>
      <c r="O6" t="s">
        <v>68</v>
      </c>
      <c r="P6">
        <f>P2+P3+P4</f>
        <v>42</v>
      </c>
    </row>
    <row r="7" spans="1:16" ht="33.9" customHeight="1" x14ac:dyDescent="0.4">
      <c r="A7" s="12">
        <v>36670</v>
      </c>
      <c r="B7" s="12"/>
      <c r="C7" s="12"/>
      <c r="D7" s="12">
        <v>36668</v>
      </c>
      <c r="E7" s="12"/>
      <c r="F7" s="4">
        <v>7.6388888888888895E-2</v>
      </c>
      <c r="G7" s="10"/>
      <c r="H7" s="10"/>
      <c r="I7" s="10"/>
      <c r="J7" s="3" t="s">
        <v>4</v>
      </c>
    </row>
    <row r="8" spans="1:16" ht="36" customHeight="1" x14ac:dyDescent="0.4">
      <c r="A8" s="12">
        <v>36722.595833333333</v>
      </c>
      <c r="B8" s="12"/>
      <c r="C8" s="12"/>
      <c r="D8" s="12">
        <v>36721</v>
      </c>
      <c r="E8" s="12"/>
      <c r="F8" s="4">
        <v>0.45416666666666666</v>
      </c>
      <c r="G8" s="10" t="s">
        <v>8</v>
      </c>
      <c r="H8" s="10"/>
      <c r="I8" s="10"/>
      <c r="J8" s="3" t="s">
        <v>12</v>
      </c>
    </row>
    <row r="9" spans="1:16" ht="50.6" customHeight="1" x14ac:dyDescent="0.4">
      <c r="A9" s="12">
        <v>36749.785416666666</v>
      </c>
      <c r="B9" s="12"/>
      <c r="C9" s="12"/>
      <c r="D9" s="12">
        <v>36747</v>
      </c>
      <c r="E9" s="12"/>
      <c r="F9" s="4">
        <v>0.6875</v>
      </c>
      <c r="G9" s="10" t="s">
        <v>9</v>
      </c>
      <c r="H9" s="10"/>
      <c r="I9" s="10"/>
      <c r="J9" s="3" t="s">
        <v>11</v>
      </c>
    </row>
    <row r="10" spans="1:16" ht="39.9" customHeight="1" x14ac:dyDescent="0.4">
      <c r="A10" s="12">
        <v>36786</v>
      </c>
      <c r="B10" s="12"/>
      <c r="C10" s="12"/>
      <c r="D10" s="12">
        <v>36785</v>
      </c>
      <c r="E10" s="12"/>
      <c r="F10" s="3"/>
      <c r="G10" s="10"/>
      <c r="H10" s="10"/>
      <c r="I10" s="10"/>
      <c r="J10" s="3" t="s">
        <v>4</v>
      </c>
    </row>
    <row r="11" spans="1:16" ht="32.15" customHeight="1" x14ac:dyDescent="0.4">
      <c r="A11" s="12">
        <v>36802</v>
      </c>
      <c r="B11" s="12"/>
      <c r="C11" s="12"/>
      <c r="D11" s="12">
        <v>36801</v>
      </c>
      <c r="E11" s="12"/>
      <c r="F11" s="4"/>
      <c r="G11" s="10"/>
      <c r="H11" s="10"/>
      <c r="I11" s="10"/>
      <c r="J11" s="3" t="s">
        <v>4</v>
      </c>
    </row>
    <row r="12" spans="1:16" ht="27.9" customHeight="1" x14ac:dyDescent="0.4">
      <c r="A12" s="12">
        <v>36812</v>
      </c>
      <c r="B12" s="12"/>
      <c r="C12" s="12"/>
      <c r="D12" s="12">
        <v>36809</v>
      </c>
      <c r="E12" s="12"/>
      <c r="F12" s="3"/>
      <c r="G12" s="10"/>
      <c r="H12" s="10"/>
      <c r="I12" s="10"/>
      <c r="J12" s="3" t="s">
        <v>4</v>
      </c>
    </row>
    <row r="13" spans="1:16" ht="43.3" customHeight="1" x14ac:dyDescent="0.4">
      <c r="A13" s="12">
        <v>36827</v>
      </c>
      <c r="B13" s="12"/>
      <c r="C13" s="12"/>
      <c r="D13" s="12">
        <v>36824</v>
      </c>
      <c r="E13" s="12"/>
      <c r="F13" s="4">
        <v>0.35138888888888886</v>
      </c>
      <c r="G13" s="10" t="s">
        <v>10</v>
      </c>
      <c r="H13" s="10"/>
      <c r="I13" s="10"/>
      <c r="J13" s="3" t="s">
        <v>12</v>
      </c>
    </row>
    <row r="14" spans="1:16" ht="39.450000000000003" customHeight="1" x14ac:dyDescent="0.4">
      <c r="A14" s="12">
        <v>36836</v>
      </c>
      <c r="B14" s="12"/>
      <c r="C14" s="12"/>
      <c r="D14" s="12">
        <v>36833</v>
      </c>
      <c r="E14" s="12"/>
      <c r="F14" s="4"/>
      <c r="G14" s="10"/>
      <c r="H14" s="10"/>
      <c r="I14" s="10"/>
      <c r="J14" s="3" t="s">
        <v>4</v>
      </c>
    </row>
    <row r="15" spans="1:16" ht="39.450000000000003" customHeight="1" x14ac:dyDescent="0.4">
      <c r="A15" s="12">
        <v>36858</v>
      </c>
      <c r="B15" s="12"/>
      <c r="C15" s="12"/>
      <c r="D15" s="12">
        <v>36856</v>
      </c>
      <c r="E15" s="12"/>
      <c r="F15" s="3"/>
      <c r="G15" s="10"/>
      <c r="H15" s="10"/>
      <c r="I15" s="10"/>
      <c r="J15" s="3" t="s">
        <v>4</v>
      </c>
    </row>
    <row r="16" spans="1:16" ht="41.15" customHeight="1" x14ac:dyDescent="0.4">
      <c r="A16" s="12">
        <v>36969</v>
      </c>
      <c r="B16" s="12"/>
      <c r="C16" s="12"/>
      <c r="D16" s="12">
        <v>36966</v>
      </c>
      <c r="E16" s="12"/>
      <c r="F16" s="4"/>
      <c r="G16" s="10"/>
      <c r="H16" s="10"/>
      <c r="I16" s="10"/>
      <c r="J16" s="3" t="s">
        <v>4</v>
      </c>
    </row>
    <row r="17" spans="1:10" ht="48.9" customHeight="1" x14ac:dyDescent="0.4">
      <c r="A17" s="12">
        <v>36981</v>
      </c>
      <c r="B17" s="12"/>
      <c r="C17" s="12"/>
      <c r="D17" s="12">
        <v>36979</v>
      </c>
      <c r="E17" s="12"/>
      <c r="F17" s="4">
        <v>0.43472222222222223</v>
      </c>
      <c r="G17" s="10" t="s">
        <v>19</v>
      </c>
      <c r="H17" s="10"/>
      <c r="I17" s="10"/>
      <c r="J17" s="3" t="s">
        <v>13</v>
      </c>
    </row>
    <row r="18" spans="1:10" ht="53.6" customHeight="1" x14ac:dyDescent="0.4">
      <c r="A18" s="12">
        <v>36993</v>
      </c>
      <c r="B18" s="12"/>
      <c r="C18" s="12"/>
      <c r="D18" s="12">
        <v>36991</v>
      </c>
      <c r="E18" s="12"/>
      <c r="F18" s="4">
        <v>0.22916666666666666</v>
      </c>
      <c r="G18" s="10" t="s">
        <v>20</v>
      </c>
      <c r="H18" s="10"/>
      <c r="I18" s="10"/>
      <c r="J18" s="3" t="s">
        <v>4</v>
      </c>
    </row>
    <row r="19" spans="1:10" ht="38.25" customHeight="1" x14ac:dyDescent="0.4">
      <c r="A19" s="12">
        <v>36999.507638888892</v>
      </c>
      <c r="B19" s="12"/>
      <c r="C19" s="12"/>
      <c r="D19" s="12">
        <v>36996</v>
      </c>
      <c r="E19" s="12"/>
      <c r="F19" s="4">
        <v>0.58750000000000002</v>
      </c>
      <c r="G19" s="16" t="s">
        <v>21</v>
      </c>
      <c r="H19" s="16"/>
      <c r="I19" s="16"/>
      <c r="J19" s="3" t="s">
        <v>4</v>
      </c>
    </row>
    <row r="20" spans="1:10" ht="38.6" customHeight="1" x14ac:dyDescent="0.4">
      <c r="A20" s="12">
        <v>37003.188888888886</v>
      </c>
      <c r="B20" s="12"/>
      <c r="C20" s="12"/>
      <c r="D20" s="12">
        <v>37000</v>
      </c>
      <c r="E20" s="12"/>
      <c r="F20" s="4">
        <v>0.52083333333333337</v>
      </c>
      <c r="G20" s="16" t="s">
        <v>22</v>
      </c>
      <c r="H20" s="16"/>
      <c r="I20" s="16"/>
      <c r="J20" s="3" t="s">
        <v>11</v>
      </c>
    </row>
    <row r="21" spans="1:10" ht="44.15" customHeight="1" x14ac:dyDescent="0.4">
      <c r="A21" s="12">
        <v>37120.955555555556</v>
      </c>
      <c r="B21" s="12"/>
      <c r="C21" s="12"/>
      <c r="D21" s="12">
        <v>37117</v>
      </c>
      <c r="E21" s="12"/>
      <c r="F21" s="4">
        <v>0.66736111111111107</v>
      </c>
      <c r="G21" s="10" t="s">
        <v>23</v>
      </c>
      <c r="H21" s="10"/>
      <c r="I21" s="10"/>
      <c r="J21" s="3" t="s">
        <v>11</v>
      </c>
    </row>
    <row r="22" spans="1:10" ht="35.15" customHeight="1" x14ac:dyDescent="0.4">
      <c r="A22" s="12">
        <v>37160.4375</v>
      </c>
      <c r="B22" s="12"/>
      <c r="C22" s="12"/>
      <c r="D22" s="12">
        <v>37158</v>
      </c>
      <c r="E22" s="12"/>
      <c r="F22" s="4">
        <v>0.4375</v>
      </c>
      <c r="G22" s="10" t="s">
        <v>24</v>
      </c>
      <c r="H22" s="10"/>
      <c r="I22" s="10"/>
      <c r="J22" s="3" t="s">
        <v>4</v>
      </c>
    </row>
    <row r="23" spans="1:10" ht="40.75" customHeight="1" x14ac:dyDescent="0.4">
      <c r="A23" s="12">
        <v>37186.041666666664</v>
      </c>
      <c r="B23" s="12"/>
      <c r="C23" s="12"/>
      <c r="D23" s="12">
        <v>37183</v>
      </c>
      <c r="E23" s="12"/>
      <c r="F23" s="4">
        <v>6.0416666666666667E-2</v>
      </c>
      <c r="G23" s="10"/>
      <c r="H23" s="10"/>
      <c r="I23" s="10"/>
      <c r="J23" s="3" t="s">
        <v>13</v>
      </c>
    </row>
    <row r="24" spans="1:10" ht="36.9" customHeight="1" x14ac:dyDescent="0.4">
      <c r="A24" s="12">
        <v>37192.739583333336</v>
      </c>
      <c r="B24" s="12"/>
      <c r="C24" s="12"/>
      <c r="D24" s="12">
        <v>37189</v>
      </c>
      <c r="E24" s="12"/>
      <c r="F24" s="4">
        <v>0.6430555555555556</v>
      </c>
      <c r="G24" s="10" t="s">
        <v>25</v>
      </c>
      <c r="H24" s="10"/>
      <c r="I24" s="10"/>
      <c r="J24" s="3" t="s">
        <v>12</v>
      </c>
    </row>
    <row r="25" spans="1:10" ht="40.75" customHeight="1" x14ac:dyDescent="0.4">
      <c r="A25" s="12">
        <v>37195.886805555558</v>
      </c>
      <c r="B25" s="12"/>
      <c r="C25" s="12"/>
      <c r="D25" s="12">
        <v>37191</v>
      </c>
      <c r="E25" s="12"/>
      <c r="F25" s="4">
        <v>0.37916666666666665</v>
      </c>
      <c r="G25" s="10"/>
      <c r="H25" s="10"/>
      <c r="I25" s="10"/>
      <c r="J25" s="3" t="s">
        <v>4</v>
      </c>
    </row>
    <row r="26" spans="1:10" ht="51" customHeight="1" x14ac:dyDescent="0.4">
      <c r="A26" s="12">
        <v>37219.647916666669</v>
      </c>
      <c r="B26" s="12"/>
      <c r="C26" s="12"/>
      <c r="D26" s="12">
        <v>37217</v>
      </c>
      <c r="E26" s="12"/>
      <c r="F26" s="4">
        <v>0.97916666666666663</v>
      </c>
      <c r="G26" s="10" t="s">
        <v>26</v>
      </c>
      <c r="H26" s="10"/>
      <c r="I26" s="10"/>
      <c r="J26" s="3" t="s">
        <v>4</v>
      </c>
    </row>
    <row r="27" spans="1:10" ht="41.6" customHeight="1" x14ac:dyDescent="0.4">
      <c r="A27" s="12">
        <v>37339.463888888888</v>
      </c>
      <c r="B27" s="12"/>
      <c r="C27" s="12"/>
      <c r="D27" s="12">
        <v>37335</v>
      </c>
      <c r="E27" s="12"/>
      <c r="F27" s="4">
        <v>0.74583333333333335</v>
      </c>
      <c r="G27" s="10"/>
      <c r="H27" s="10"/>
      <c r="I27" s="10"/>
      <c r="J27" s="3" t="s">
        <v>4</v>
      </c>
    </row>
    <row r="28" spans="1:10" ht="36.9" customHeight="1" x14ac:dyDescent="0.4">
      <c r="A28" s="12">
        <v>37364.063888888886</v>
      </c>
      <c r="B28" s="12"/>
      <c r="C28" s="12"/>
      <c r="D28" s="12">
        <v>37361</v>
      </c>
      <c r="E28" s="12"/>
      <c r="F28" s="4">
        <v>0.15972222222222221</v>
      </c>
      <c r="G28" s="10"/>
      <c r="H28" s="10"/>
      <c r="I28" s="10"/>
      <c r="J28" s="3" t="s">
        <v>4</v>
      </c>
    </row>
    <row r="29" spans="1:10" ht="43.3" customHeight="1" x14ac:dyDescent="0.4">
      <c r="A29" s="12">
        <v>37366.229861111111</v>
      </c>
      <c r="B29" s="12"/>
      <c r="C29" s="12"/>
      <c r="D29" s="12">
        <v>37363</v>
      </c>
      <c r="E29" s="12"/>
      <c r="F29" s="4">
        <v>0.35138888888888886</v>
      </c>
      <c r="G29" s="10"/>
      <c r="H29" s="10"/>
      <c r="I29" s="10"/>
      <c r="J29" s="3" t="s">
        <v>4</v>
      </c>
    </row>
    <row r="30" spans="1:10" ht="47.15" customHeight="1" x14ac:dyDescent="0.4">
      <c r="A30" s="12">
        <v>37399.895138888889</v>
      </c>
      <c r="B30" s="12"/>
      <c r="C30" s="12"/>
      <c r="D30" s="12">
        <v>37398</v>
      </c>
      <c r="E30" s="12"/>
      <c r="F30" s="4">
        <v>0.15972222222222221</v>
      </c>
      <c r="G30" s="10" t="s">
        <v>27</v>
      </c>
      <c r="H30" s="10"/>
      <c r="I30" s="10"/>
      <c r="J30" s="3" t="s">
        <v>12</v>
      </c>
    </row>
    <row r="31" spans="1:10" ht="27.9" customHeight="1" x14ac:dyDescent="0.4">
      <c r="A31" s="12">
        <v>37470.300000000003</v>
      </c>
      <c r="B31" s="12"/>
      <c r="C31" s="12"/>
      <c r="D31" s="12">
        <v>37466</v>
      </c>
      <c r="E31" s="12"/>
      <c r="F31" s="4">
        <v>0.50486111111111109</v>
      </c>
      <c r="G31" s="10"/>
      <c r="H31" s="10"/>
      <c r="I31" s="10"/>
      <c r="J31" s="3" t="s">
        <v>4</v>
      </c>
    </row>
    <row r="32" spans="1:10" ht="42" customHeight="1" x14ac:dyDescent="0.4">
      <c r="A32" s="12">
        <v>37488.617361111108</v>
      </c>
      <c r="B32" s="12"/>
      <c r="C32" s="12"/>
      <c r="D32" s="12">
        <v>37486</v>
      </c>
      <c r="E32" s="12"/>
      <c r="F32" s="4">
        <v>0.91249999999999998</v>
      </c>
      <c r="G32" s="10"/>
      <c r="H32" s="10"/>
      <c r="I32" s="10"/>
      <c r="J32" s="3" t="s">
        <v>4</v>
      </c>
    </row>
    <row r="33" spans="1:10" ht="35.6" customHeight="1" x14ac:dyDescent="0.4">
      <c r="A33" s="12">
        <v>37506.863888888889</v>
      </c>
      <c r="B33" s="12"/>
      <c r="C33" s="12"/>
      <c r="D33" s="12">
        <v>37504</v>
      </c>
      <c r="E33" s="12"/>
      <c r="F33" s="4">
        <v>0.70416666666666672</v>
      </c>
      <c r="G33" s="10"/>
      <c r="H33" s="10"/>
      <c r="I33" s="10"/>
      <c r="J33" s="3" t="s">
        <v>4</v>
      </c>
    </row>
    <row r="34" spans="1:10" ht="39.450000000000003" customHeight="1" x14ac:dyDescent="0.4">
      <c r="A34" s="12">
        <v>37529.925694444442</v>
      </c>
      <c r="B34" s="12"/>
      <c r="C34" s="12"/>
      <c r="D34" s="12">
        <v>37525</v>
      </c>
      <c r="E34" s="12"/>
      <c r="F34" s="4">
        <v>3.7499999999999999E-2</v>
      </c>
      <c r="G34" s="10" t="s">
        <v>28</v>
      </c>
      <c r="H34" s="10"/>
      <c r="I34" s="10"/>
      <c r="J34" s="3" t="s">
        <v>13</v>
      </c>
    </row>
    <row r="35" spans="1:10" ht="31.75" customHeight="1" x14ac:dyDescent="0.4">
      <c r="A35" s="12">
        <v>37771.800000000003</v>
      </c>
      <c r="B35" s="12"/>
      <c r="C35" s="12"/>
      <c r="D35" s="12">
        <v>37768</v>
      </c>
      <c r="E35" s="12"/>
      <c r="F35" s="4">
        <v>0.99305555555555558</v>
      </c>
      <c r="G35" s="10" t="s">
        <v>29</v>
      </c>
      <c r="H35" s="10"/>
      <c r="I35" s="10"/>
      <c r="J35" s="3" t="s">
        <v>13</v>
      </c>
    </row>
    <row r="36" spans="1:10" ht="39.450000000000003" customHeight="1" x14ac:dyDescent="0.4">
      <c r="A36" s="12">
        <v>37789.494444444441</v>
      </c>
      <c r="B36" s="12"/>
      <c r="C36" s="12"/>
      <c r="D36" s="12">
        <v>37786</v>
      </c>
      <c r="E36" s="12"/>
      <c r="F36" s="4">
        <v>7.9166666666666663E-2</v>
      </c>
      <c r="G36" s="10"/>
      <c r="H36" s="10"/>
      <c r="I36" s="10"/>
      <c r="J36" s="3" t="s">
        <v>4</v>
      </c>
    </row>
    <row r="37" spans="1:10" ht="36.450000000000003" customHeight="1" x14ac:dyDescent="0.4">
      <c r="A37" s="12">
        <v>37851.102083333331</v>
      </c>
      <c r="B37" s="12"/>
      <c r="C37" s="12"/>
      <c r="D37" s="12">
        <v>37847</v>
      </c>
      <c r="E37" s="12"/>
      <c r="F37" s="4">
        <v>0.83750000000000002</v>
      </c>
      <c r="G37" s="10"/>
      <c r="H37" s="10"/>
      <c r="I37" s="10"/>
      <c r="J37" s="3" t="s">
        <v>12</v>
      </c>
    </row>
    <row r="38" spans="1:10" ht="44.15" customHeight="1" x14ac:dyDescent="0.4">
      <c r="A38" s="12">
        <v>37923.329861111109</v>
      </c>
      <c r="B38" s="12"/>
      <c r="C38" s="12"/>
      <c r="D38" s="12">
        <v>37922</v>
      </c>
      <c r="E38" s="12"/>
      <c r="F38" s="4">
        <v>0.47916666666666669</v>
      </c>
      <c r="G38" s="10" t="s">
        <v>30</v>
      </c>
      <c r="H38" s="10"/>
      <c r="I38" s="10"/>
      <c r="J38" s="3" t="s">
        <v>11</v>
      </c>
    </row>
    <row r="39" spans="1:10" ht="57.45" customHeight="1" x14ac:dyDescent="0.4">
      <c r="A39" s="12">
        <v>37945.475694444445</v>
      </c>
      <c r="B39" s="12"/>
      <c r="C39" s="12"/>
      <c r="D39" s="12">
        <v>37943</v>
      </c>
      <c r="E39" s="12"/>
      <c r="F39" s="4">
        <v>0.36805555555555558</v>
      </c>
      <c r="G39" s="10" t="s">
        <v>31</v>
      </c>
      <c r="H39" s="10"/>
      <c r="I39" s="10"/>
      <c r="J39" s="3" t="s">
        <v>32</v>
      </c>
    </row>
    <row r="40" spans="1:10" ht="36.450000000000003" customHeight="1" x14ac:dyDescent="0.4">
      <c r="A40" s="12">
        <v>38008.574999999997</v>
      </c>
      <c r="B40" s="12"/>
      <c r="C40" s="12"/>
      <c r="D40" s="12">
        <v>38006</v>
      </c>
      <c r="E40" s="12"/>
      <c r="F40" s="4">
        <v>4.1666666666666666E-3</v>
      </c>
      <c r="G40" s="16" t="s">
        <v>33</v>
      </c>
      <c r="H40" s="16"/>
      <c r="I40" s="16"/>
      <c r="J40" s="3" t="s">
        <v>13</v>
      </c>
    </row>
    <row r="41" spans="1:10" ht="37.299999999999997" customHeight="1" x14ac:dyDescent="0.4">
      <c r="A41" s="12">
        <v>38192.386111111111</v>
      </c>
      <c r="B41" s="12"/>
      <c r="C41" s="12"/>
      <c r="D41" s="12">
        <v>38190</v>
      </c>
      <c r="E41" s="12"/>
      <c r="F41" s="4">
        <v>0.35416666666666669</v>
      </c>
      <c r="G41" s="16"/>
      <c r="H41" s="16"/>
      <c r="I41" s="16"/>
      <c r="J41" s="3" t="s">
        <v>4</v>
      </c>
    </row>
    <row r="42" spans="1:10" ht="41.15" customHeight="1" x14ac:dyDescent="0.4">
      <c r="A42" s="12">
        <v>38195.086805555555</v>
      </c>
      <c r="B42" s="12"/>
      <c r="C42" s="12"/>
      <c r="D42" s="12">
        <v>38193</v>
      </c>
      <c r="E42" s="12"/>
      <c r="F42" s="4">
        <v>0.62083333333333335</v>
      </c>
      <c r="G42" s="10" t="s">
        <v>34</v>
      </c>
      <c r="H42" s="10"/>
      <c r="I42" s="10"/>
      <c r="J42" s="3" t="s">
        <v>12</v>
      </c>
    </row>
    <row r="43" spans="1:10" ht="44.6" customHeight="1" x14ac:dyDescent="0.4">
      <c r="A43" s="12">
        <v>38299.195138888892</v>
      </c>
      <c r="B43" s="12"/>
      <c r="C43" s="12"/>
      <c r="D43" s="12">
        <v>38295</v>
      </c>
      <c r="E43" s="12"/>
      <c r="F43" s="4">
        <v>0.97916666666666663</v>
      </c>
      <c r="G43" s="10" t="s">
        <v>35</v>
      </c>
      <c r="H43" s="10"/>
      <c r="I43" s="10"/>
      <c r="J43" s="3" t="s">
        <v>12</v>
      </c>
    </row>
    <row r="44" spans="1:10" ht="48.9" customHeight="1" x14ac:dyDescent="0.4">
      <c r="A44" s="12">
        <v>38300</v>
      </c>
      <c r="B44" s="12"/>
      <c r="C44" s="12"/>
      <c r="D44" s="12">
        <v>38298</v>
      </c>
      <c r="E44" s="12"/>
      <c r="F44" s="4">
        <v>0.70416666666666672</v>
      </c>
      <c r="G44" s="10" t="s">
        <v>36</v>
      </c>
      <c r="H44" s="10"/>
      <c r="I44" s="10"/>
      <c r="J44" s="3" t="s">
        <v>11</v>
      </c>
    </row>
    <row r="45" spans="1:10" ht="52.75" customHeight="1" x14ac:dyDescent="0.4">
      <c r="A45" s="12">
        <v>38487.376388888886</v>
      </c>
      <c r="B45" s="12"/>
      <c r="C45" s="12"/>
      <c r="D45" s="12">
        <v>38485</v>
      </c>
      <c r="E45" s="12"/>
      <c r="F45" s="4">
        <v>0.71666666666666667</v>
      </c>
      <c r="G45" s="10"/>
      <c r="H45" s="10"/>
      <c r="I45" s="10"/>
      <c r="J45" s="3" t="s">
        <v>12</v>
      </c>
    </row>
    <row r="46" spans="1:10" ht="50.15" customHeight="1" x14ac:dyDescent="0.4">
      <c r="A46" s="12">
        <v>38501.46875</v>
      </c>
      <c r="B46" s="12"/>
      <c r="C46" s="12"/>
      <c r="D46" s="12">
        <v>38498</v>
      </c>
      <c r="E46" s="12"/>
      <c r="F46" s="4">
        <v>0.62916666666666665</v>
      </c>
      <c r="G46" s="10"/>
      <c r="H46" s="10"/>
      <c r="I46" s="10"/>
      <c r="J46" s="3" t="s">
        <v>4</v>
      </c>
    </row>
    <row r="47" spans="1:10" ht="52.3" customHeight="1" x14ac:dyDescent="0.4">
      <c r="A47" s="12">
        <v>38515.705555555556</v>
      </c>
      <c r="B47" s="12"/>
      <c r="C47" s="12"/>
      <c r="D47" s="12">
        <v>38512</v>
      </c>
      <c r="E47" s="12"/>
      <c r="F47" s="4">
        <v>0.60833333333333328</v>
      </c>
      <c r="G47" s="10" t="s">
        <v>43</v>
      </c>
      <c r="H47" s="10"/>
      <c r="I47" s="10"/>
      <c r="J47" s="3" t="s">
        <v>12</v>
      </c>
    </row>
    <row r="48" spans="1:10" ht="48" customHeight="1" x14ac:dyDescent="0.4">
      <c r="A48" s="12">
        <v>38606.45416666667</v>
      </c>
      <c r="B48" s="12"/>
      <c r="C48" s="12"/>
      <c r="D48" s="12">
        <v>38604</v>
      </c>
      <c r="E48" s="12"/>
      <c r="F48" s="4">
        <v>0.82499999999999996</v>
      </c>
      <c r="G48" s="10" t="s">
        <v>37</v>
      </c>
      <c r="H48" s="10"/>
      <c r="I48" s="10"/>
      <c r="J48" s="3" t="s">
        <v>4</v>
      </c>
    </row>
    <row r="49" spans="1:15" ht="52.75" customHeight="1" x14ac:dyDescent="0.4">
      <c r="A49" s="12">
        <v>39065.916666666664</v>
      </c>
      <c r="B49" s="12"/>
      <c r="C49" s="12"/>
      <c r="D49" s="12">
        <v>39064</v>
      </c>
      <c r="E49" s="12"/>
      <c r="F49" s="4">
        <v>0.12083333333333333</v>
      </c>
      <c r="G49" s="10" t="s">
        <v>38</v>
      </c>
      <c r="H49" s="10"/>
      <c r="I49" s="10"/>
      <c r="J49" s="3" t="s">
        <v>12</v>
      </c>
    </row>
    <row r="50" spans="1:15" ht="46.85" customHeight="1" thickBot="1" x14ac:dyDescent="0.45">
      <c r="A50" s="19" t="s">
        <v>40</v>
      </c>
      <c r="B50" s="19"/>
      <c r="C50" s="19"/>
      <c r="D50" s="19"/>
      <c r="E50" s="19"/>
      <c r="F50" s="19"/>
      <c r="G50" s="19"/>
      <c r="H50" s="19"/>
      <c r="I50" s="19"/>
      <c r="J50" s="19"/>
      <c r="L50" s="14" t="s">
        <v>45</v>
      </c>
      <c r="M50" s="14"/>
      <c r="N50" s="14"/>
      <c r="O50" s="14"/>
    </row>
    <row r="51" spans="1:15" ht="45.9" customHeight="1" thickTop="1" x14ac:dyDescent="0.4">
      <c r="A51" s="12">
        <v>40841</v>
      </c>
      <c r="B51" s="12"/>
      <c r="C51" s="12"/>
      <c r="D51" s="12">
        <v>40838</v>
      </c>
      <c r="E51" s="12"/>
      <c r="F51" s="4">
        <v>5.9027777777777776E-2</v>
      </c>
      <c r="G51" s="10" t="s">
        <v>39</v>
      </c>
      <c r="H51" s="10"/>
      <c r="I51" s="10"/>
      <c r="J51" s="3" t="s">
        <v>11</v>
      </c>
    </row>
    <row r="52" spans="1:15" ht="48" customHeight="1" x14ac:dyDescent="0.4">
      <c r="A52" s="12">
        <v>40976.873611111114</v>
      </c>
      <c r="B52" s="12"/>
      <c r="C52" s="12"/>
      <c r="D52" s="12">
        <v>40975</v>
      </c>
      <c r="E52" s="12"/>
      <c r="F52" s="4">
        <v>6.25E-2</v>
      </c>
      <c r="G52" s="13" t="s">
        <v>41</v>
      </c>
      <c r="H52" s="13"/>
      <c r="I52" s="13"/>
      <c r="J52" s="3" t="s">
        <v>13</v>
      </c>
    </row>
    <row r="53" spans="1:15" ht="44.15" customHeight="1" x14ac:dyDescent="0.4">
      <c r="A53" s="12" t="s">
        <v>42</v>
      </c>
      <c r="B53" s="12"/>
      <c r="C53" s="12"/>
      <c r="D53" s="12">
        <v>41018</v>
      </c>
      <c r="E53" s="12"/>
      <c r="F53" s="4">
        <v>0.6333333333333333</v>
      </c>
      <c r="G53" s="13"/>
      <c r="H53" s="13"/>
      <c r="I53" s="13"/>
      <c r="J53" s="3" t="s">
        <v>4</v>
      </c>
    </row>
    <row r="54" spans="1:15" ht="48.9" customHeight="1" x14ac:dyDescent="0.4">
      <c r="A54" s="12">
        <v>41105.340277777781</v>
      </c>
      <c r="B54" s="12"/>
      <c r="C54" s="12"/>
      <c r="D54" s="12">
        <v>41102</v>
      </c>
      <c r="E54" s="12"/>
      <c r="F54" s="4">
        <v>0.7</v>
      </c>
      <c r="G54" s="13" t="s">
        <v>44</v>
      </c>
      <c r="H54" s="13"/>
      <c r="I54" s="13"/>
      <c r="J54" s="3" t="s">
        <v>11</v>
      </c>
    </row>
    <row r="55" spans="1:15" ht="54" customHeight="1" x14ac:dyDescent="0.4">
      <c r="A55" s="12">
        <v>41183.03402777778</v>
      </c>
      <c r="B55" s="12"/>
      <c r="C55" s="12"/>
      <c r="D55" s="12">
        <v>41180</v>
      </c>
      <c r="E55" s="12"/>
      <c r="F55" s="4">
        <v>8.3333333333333332E-3</v>
      </c>
      <c r="G55" s="10" t="s">
        <v>46</v>
      </c>
      <c r="H55" s="10"/>
      <c r="I55" s="10"/>
      <c r="J55" s="3" t="s">
        <v>13</v>
      </c>
      <c r="K55" t="s">
        <v>47</v>
      </c>
    </row>
    <row r="56" spans="1:15" ht="45.9" customHeight="1" x14ac:dyDescent="0.4">
      <c r="A56" s="12">
        <v>41190.758333333331</v>
      </c>
      <c r="B56" s="12"/>
      <c r="C56" s="12"/>
      <c r="D56" s="12">
        <v>41187</v>
      </c>
      <c r="E56" s="12"/>
      <c r="F56" s="4">
        <v>0.11666666666666667</v>
      </c>
      <c r="G56" s="10"/>
      <c r="H56" s="10"/>
      <c r="I56" s="10"/>
      <c r="J56" s="3" t="s">
        <v>4</v>
      </c>
    </row>
    <row r="57" spans="1:15" ht="42.45" customHeight="1" x14ac:dyDescent="0.4">
      <c r="A57" s="12">
        <v>41226.373611111114</v>
      </c>
      <c r="B57" s="12"/>
      <c r="C57" s="12"/>
      <c r="D57" s="12">
        <v>41222</v>
      </c>
      <c r="E57" s="12"/>
      <c r="F57" s="4">
        <v>0.6333333333333333</v>
      </c>
      <c r="G57" s="13"/>
      <c r="H57" s="13"/>
      <c r="I57" s="13"/>
      <c r="J57" s="3" t="s">
        <v>4</v>
      </c>
    </row>
    <row r="58" spans="1:15" ht="38.15" customHeight="1" x14ac:dyDescent="0.4">
      <c r="A58" s="12">
        <v>41350.625</v>
      </c>
      <c r="B58" s="12"/>
      <c r="C58" s="12"/>
      <c r="D58" s="12">
        <v>41348</v>
      </c>
      <c r="E58" s="12"/>
      <c r="F58" s="4">
        <v>0.3</v>
      </c>
      <c r="G58" s="13"/>
      <c r="H58" s="13"/>
      <c r="I58" s="13"/>
      <c r="J58" s="3" t="s">
        <v>4</v>
      </c>
    </row>
    <row r="59" spans="1:15" ht="39" customHeight="1" x14ac:dyDescent="0.4">
      <c r="A59" s="12">
        <v>41453.083333333336</v>
      </c>
      <c r="B59" s="12"/>
      <c r="C59" s="12"/>
      <c r="D59" s="12">
        <v>41448</v>
      </c>
      <c r="E59" s="12"/>
      <c r="F59" s="4">
        <v>0.94166666666666665</v>
      </c>
      <c r="G59" s="13"/>
      <c r="H59" s="13"/>
      <c r="I59" s="13"/>
      <c r="J59" s="3" t="s">
        <v>4</v>
      </c>
    </row>
    <row r="60" spans="1:15" ht="37.75" customHeight="1" x14ac:dyDescent="0.4">
      <c r="A60" s="12">
        <v>41689.64166666667</v>
      </c>
      <c r="B60" s="12"/>
      <c r="C60" s="12"/>
      <c r="D60" s="12">
        <v>41686</v>
      </c>
      <c r="E60" s="12"/>
      <c r="F60" s="4">
        <v>0.41666666666666669</v>
      </c>
      <c r="G60" s="10"/>
      <c r="H60" s="10"/>
      <c r="I60" s="10"/>
      <c r="J60" s="3" t="s">
        <v>4</v>
      </c>
    </row>
    <row r="61" spans="1:15" ht="49.75" customHeight="1" x14ac:dyDescent="0.4">
      <c r="A61" s="12">
        <v>42011.353472222225</v>
      </c>
      <c r="B61" s="12"/>
      <c r="C61" s="12"/>
      <c r="D61" s="12">
        <v>42007</v>
      </c>
      <c r="E61" s="12"/>
      <c r="F61" s="4">
        <v>0.13333333333333333</v>
      </c>
      <c r="G61" s="10" t="s">
        <v>48</v>
      </c>
      <c r="H61" s="10"/>
      <c r="I61" s="10"/>
      <c r="J61" s="3" t="s">
        <v>12</v>
      </c>
    </row>
    <row r="62" spans="1:15" ht="40.299999999999997" customHeight="1" x14ac:dyDescent="0.4">
      <c r="A62" s="12">
        <v>42080.583333333336</v>
      </c>
      <c r="B62" s="12"/>
      <c r="C62" s="12"/>
      <c r="D62" s="12">
        <v>42078</v>
      </c>
      <c r="E62" s="12"/>
      <c r="F62" s="4">
        <v>7.4999999999999997E-2</v>
      </c>
      <c r="G62" s="13"/>
      <c r="H62" s="13"/>
      <c r="I62" s="13"/>
      <c r="J62" s="3" t="s">
        <v>4</v>
      </c>
    </row>
    <row r="63" spans="1:15" ht="54" customHeight="1" x14ac:dyDescent="0.4">
      <c r="A63" s="12">
        <v>42178.075694444444</v>
      </c>
      <c r="B63" s="12"/>
      <c r="C63" s="12"/>
      <c r="D63" s="12">
        <v>42176</v>
      </c>
      <c r="E63" s="12"/>
      <c r="F63" s="4">
        <v>0.10833333333333334</v>
      </c>
      <c r="G63" s="16" t="s">
        <v>69</v>
      </c>
      <c r="H63" s="16"/>
      <c r="I63" s="16"/>
      <c r="J63" s="3" t="s">
        <v>13</v>
      </c>
    </row>
    <row r="64" spans="1:15" ht="39.450000000000003" customHeight="1" x14ac:dyDescent="0.4">
      <c r="A64" s="12">
        <v>42255</v>
      </c>
      <c r="B64" s="12"/>
      <c r="C64" s="12"/>
      <c r="D64" s="12">
        <v>42251</v>
      </c>
      <c r="E64" s="12"/>
      <c r="F64" s="4">
        <v>0.96666666666666667</v>
      </c>
      <c r="G64" s="10"/>
      <c r="H64" s="10"/>
      <c r="I64" s="10"/>
      <c r="J64" s="3" t="s">
        <v>4</v>
      </c>
    </row>
    <row r="65" spans="1:10" ht="47.15" customHeight="1" x14ac:dyDescent="0.4">
      <c r="A65" s="12">
        <v>42358.574305555558</v>
      </c>
      <c r="B65" s="12"/>
      <c r="C65" s="12"/>
      <c r="D65" s="12">
        <v>42354</v>
      </c>
      <c r="E65" s="12"/>
      <c r="F65" s="1">
        <v>0.4</v>
      </c>
      <c r="G65" s="10" t="s">
        <v>49</v>
      </c>
      <c r="H65" s="10"/>
      <c r="I65" s="10"/>
      <c r="J65" s="3" t="s">
        <v>13</v>
      </c>
    </row>
    <row r="66" spans="1:10" ht="43.3" customHeight="1" x14ac:dyDescent="0.4">
      <c r="A66" s="12">
        <v>42369.770833333336</v>
      </c>
      <c r="B66" s="12"/>
      <c r="C66" s="12"/>
      <c r="D66" s="12">
        <v>42366</v>
      </c>
      <c r="E66" s="12"/>
      <c r="F66" s="4">
        <v>0.5083333333333333</v>
      </c>
      <c r="G66" s="13" t="s">
        <v>50</v>
      </c>
      <c r="H66" s="13"/>
      <c r="I66" s="13"/>
      <c r="J66" s="3" t="s">
        <v>4</v>
      </c>
    </row>
    <row r="67" spans="1:10" ht="40.75" customHeight="1" x14ac:dyDescent="0.4">
      <c r="A67" s="12">
        <v>42656.267361111109</v>
      </c>
      <c r="B67" s="12"/>
      <c r="C67" s="12"/>
      <c r="D67" s="12">
        <v>42652</v>
      </c>
      <c r="E67" s="12"/>
      <c r="F67" s="4">
        <v>0.1</v>
      </c>
      <c r="G67" s="13" t="s">
        <v>51</v>
      </c>
      <c r="H67" s="13"/>
      <c r="I67" s="13"/>
      <c r="J67" s="3" t="s">
        <v>13</v>
      </c>
    </row>
    <row r="68" spans="1:10" ht="44.6" customHeight="1" x14ac:dyDescent="0.4">
      <c r="A68" s="12">
        <v>42883</v>
      </c>
      <c r="B68" s="12"/>
      <c r="C68" s="12"/>
      <c r="D68" s="12">
        <v>42878</v>
      </c>
      <c r="E68" s="12"/>
      <c r="F68" s="4">
        <v>0.20833333333333334</v>
      </c>
      <c r="G68" s="13" t="s">
        <v>52</v>
      </c>
      <c r="H68" s="13"/>
      <c r="I68" s="13"/>
      <c r="J68" s="3" t="s">
        <v>12</v>
      </c>
    </row>
    <row r="69" spans="1:10" ht="41.15" customHeight="1" x14ac:dyDescent="0.4">
      <c r="A69" s="12">
        <v>42986.486805555556</v>
      </c>
      <c r="B69" s="12"/>
      <c r="C69" s="12"/>
      <c r="D69" s="12">
        <v>42984</v>
      </c>
      <c r="E69" s="12"/>
      <c r="F69" s="4">
        <v>0.51666666666666672</v>
      </c>
      <c r="G69" s="10" t="s">
        <v>53</v>
      </c>
      <c r="H69" s="10"/>
      <c r="I69" s="10"/>
      <c r="J69" s="3" t="s">
        <v>4</v>
      </c>
    </row>
    <row r="70" spans="1:10" ht="39.9" customHeight="1" x14ac:dyDescent="0.4">
      <c r="A70" s="12">
        <v>43337.552083333336</v>
      </c>
      <c r="B70" s="12"/>
      <c r="C70" s="12"/>
      <c r="D70" s="12">
        <v>43332</v>
      </c>
      <c r="E70" s="12"/>
      <c r="F70" s="4">
        <v>0.89166666666666672</v>
      </c>
      <c r="G70" s="10" t="s">
        <v>54</v>
      </c>
      <c r="H70" s="10"/>
      <c r="I70" s="10"/>
      <c r="J70" s="3" t="s">
        <v>13</v>
      </c>
    </row>
    <row r="71" spans="1:10" ht="44.15" customHeight="1" x14ac:dyDescent="0.4">
      <c r="A71" s="12">
        <v>44504.305555555555</v>
      </c>
      <c r="B71" s="12"/>
      <c r="C71" s="12"/>
      <c r="D71" s="12">
        <v>44502</v>
      </c>
      <c r="E71" s="12"/>
      <c r="F71" s="4">
        <v>0.11666666666666667</v>
      </c>
      <c r="G71" s="10" t="s">
        <v>55</v>
      </c>
      <c r="H71" s="10"/>
      <c r="I71" s="10"/>
      <c r="J71" s="3" t="s">
        <v>4</v>
      </c>
    </row>
    <row r="72" spans="1:10" ht="41.15" customHeight="1" x14ac:dyDescent="0.4">
      <c r="A72" s="12">
        <v>44984.646527777775</v>
      </c>
      <c r="B72" s="12"/>
      <c r="C72" s="12"/>
      <c r="D72" s="12">
        <v>44981</v>
      </c>
      <c r="E72" s="12"/>
      <c r="F72" s="4">
        <v>0.85833333333333328</v>
      </c>
      <c r="G72" s="10" t="s">
        <v>56</v>
      </c>
      <c r="H72" s="10"/>
      <c r="I72" s="10"/>
      <c r="J72" s="3" t="s">
        <v>4</v>
      </c>
    </row>
    <row r="73" spans="1:10" ht="49.75" customHeight="1" x14ac:dyDescent="0.4">
      <c r="A73" s="12">
        <v>45008.611111111109</v>
      </c>
      <c r="B73" s="12"/>
      <c r="C73" s="12"/>
      <c r="D73" s="12">
        <v>45004</v>
      </c>
      <c r="E73" s="12"/>
      <c r="F73" s="4">
        <v>0.95277777777777772</v>
      </c>
      <c r="G73" s="10" t="s">
        <v>57</v>
      </c>
      <c r="H73" s="10"/>
      <c r="I73" s="10"/>
      <c r="J73" s="3" t="s">
        <v>11</v>
      </c>
    </row>
    <row r="74" spans="1:10" ht="44.25" customHeight="1" x14ac:dyDescent="0.4">
      <c r="A74" s="12">
        <v>45040.07916666667</v>
      </c>
      <c r="B74" s="12"/>
      <c r="C74" s="12"/>
      <c r="D74" s="12">
        <v>45037</v>
      </c>
      <c r="E74" s="12"/>
      <c r="F74" s="4">
        <v>0.7583333333333333</v>
      </c>
      <c r="G74" s="10" t="s">
        <v>58</v>
      </c>
      <c r="H74" s="10"/>
      <c r="I74" s="10"/>
      <c r="J74" s="3" t="s">
        <v>12</v>
      </c>
    </row>
    <row r="75" spans="1:10" ht="49.75" customHeight="1" x14ac:dyDescent="0.4">
      <c r="A75" s="12">
        <v>45235.495138888888</v>
      </c>
      <c r="B75" s="12"/>
      <c r="C75" s="12"/>
      <c r="D75" s="12">
        <v>45233</v>
      </c>
      <c r="E75" s="12"/>
      <c r="F75" s="4">
        <v>0.22500000000000001</v>
      </c>
      <c r="G75" s="10"/>
      <c r="H75" s="10"/>
      <c r="I75" s="10"/>
      <c r="J75" s="3" t="s">
        <v>4</v>
      </c>
    </row>
    <row r="76" spans="1:10" ht="39.450000000000003" customHeight="1" x14ac:dyDescent="0.4">
      <c r="A76" s="12">
        <v>45261.859722222223</v>
      </c>
      <c r="B76" s="12"/>
      <c r="C76" s="12"/>
      <c r="D76" s="12">
        <v>45258</v>
      </c>
      <c r="E76" s="12"/>
      <c r="F76" s="4">
        <v>0.84166666666666667</v>
      </c>
      <c r="G76" s="10" t="s">
        <v>59</v>
      </c>
      <c r="H76" s="10"/>
      <c r="I76" s="10"/>
      <c r="J76" s="3" t="s">
        <v>11</v>
      </c>
    </row>
    <row r="77" spans="1:10" ht="42" customHeight="1" x14ac:dyDescent="0.4">
      <c r="A77" s="12">
        <v>45355.053472222222</v>
      </c>
      <c r="B77" s="12"/>
      <c r="C77" s="12"/>
      <c r="D77" s="12">
        <v>45350</v>
      </c>
      <c r="E77" s="12"/>
      <c r="F77" s="4">
        <v>0.39166666666666666</v>
      </c>
      <c r="G77" s="10" t="s">
        <v>60</v>
      </c>
      <c r="H77" s="10"/>
      <c r="I77" s="10"/>
      <c r="J77" s="3" t="s">
        <v>4</v>
      </c>
    </row>
    <row r="78" spans="1:10" ht="45" customHeight="1" x14ac:dyDescent="0.4">
      <c r="A78" s="12">
        <v>45375.768055555556</v>
      </c>
      <c r="B78" s="12"/>
      <c r="C78" s="12"/>
      <c r="D78" s="12">
        <v>45374</v>
      </c>
      <c r="E78" s="12"/>
      <c r="F78" s="4">
        <v>5.9027777777777776E-2</v>
      </c>
      <c r="G78" s="10" t="s">
        <v>61</v>
      </c>
      <c r="H78" s="10"/>
      <c r="I78" s="10"/>
      <c r="J78" s="3" t="s">
        <v>4</v>
      </c>
    </row>
    <row r="79" spans="1:10" ht="37.75" customHeight="1" x14ac:dyDescent="0.4">
      <c r="A79" s="12">
        <v>45422.824999999997</v>
      </c>
      <c r="B79" s="12"/>
      <c r="C79" s="12"/>
      <c r="D79" s="12">
        <v>45421</v>
      </c>
      <c r="E79" s="12"/>
      <c r="F79" s="4">
        <v>0.39166666666666666</v>
      </c>
      <c r="G79" s="10" t="s">
        <v>62</v>
      </c>
      <c r="H79" s="10"/>
      <c r="I79" s="10"/>
      <c r="J79" s="3" t="s">
        <v>11</v>
      </c>
    </row>
    <row r="80" spans="1:10" ht="41.6" customHeight="1" x14ac:dyDescent="0.4">
      <c r="A80" s="12">
        <v>45516.359027777777</v>
      </c>
      <c r="B80" s="12"/>
      <c r="C80" s="12"/>
      <c r="D80" s="12">
        <v>45512</v>
      </c>
      <c r="E80" s="12"/>
      <c r="F80" s="4">
        <v>0.82499999999999996</v>
      </c>
      <c r="G80" s="13" t="s">
        <v>63</v>
      </c>
      <c r="H80" s="13"/>
      <c r="I80" s="13"/>
      <c r="J80" s="3" t="s">
        <v>13</v>
      </c>
    </row>
    <row r="81" spans="1:10" ht="44.15" customHeight="1" x14ac:dyDescent="0.4">
      <c r="A81" s="12">
        <v>45547.990972222222</v>
      </c>
      <c r="B81" s="12"/>
      <c r="C81" s="12"/>
      <c r="D81" s="12">
        <v>45545</v>
      </c>
      <c r="E81" s="12"/>
      <c r="F81" s="4">
        <v>1.6666666666666666E-2</v>
      </c>
      <c r="G81" s="10" t="s">
        <v>64</v>
      </c>
      <c r="H81" s="10"/>
      <c r="I81" s="10"/>
      <c r="J81" s="3" t="s">
        <v>4</v>
      </c>
    </row>
    <row r="82" spans="1:10" ht="39.450000000000003" customHeight="1" x14ac:dyDescent="0.4">
      <c r="A82" s="12">
        <v>45572.495833333334</v>
      </c>
      <c r="B82" s="12"/>
      <c r="C82" s="12"/>
      <c r="D82" s="12">
        <v>45569</v>
      </c>
      <c r="E82" s="12"/>
      <c r="F82" s="4">
        <v>0.21666666666666667</v>
      </c>
      <c r="G82" s="10" t="s">
        <v>65</v>
      </c>
      <c r="H82" s="10"/>
      <c r="I82" s="10"/>
      <c r="J82" s="3" t="s">
        <v>13</v>
      </c>
    </row>
    <row r="83" spans="1:10" ht="43.3" customHeight="1" x14ac:dyDescent="0.4">
      <c r="A83" s="12">
        <v>45575.923611111109</v>
      </c>
      <c r="B83" s="12"/>
      <c r="C83" s="12"/>
      <c r="D83" s="12">
        <v>45574</v>
      </c>
      <c r="E83" s="12"/>
      <c r="F83" s="4">
        <v>9.166666666666666E-2</v>
      </c>
      <c r="G83" s="10" t="s">
        <v>66</v>
      </c>
      <c r="H83" s="10"/>
      <c r="I83" s="10"/>
      <c r="J83" s="3" t="s">
        <v>12</v>
      </c>
    </row>
    <row r="84" spans="1:10" ht="36" customHeight="1" x14ac:dyDescent="0.4">
      <c r="A84" s="12">
        <v>45604.525000000001</v>
      </c>
      <c r="B84" s="12"/>
      <c r="C84" s="12"/>
      <c r="D84" s="12">
        <v>45601</v>
      </c>
      <c r="E84" s="12"/>
      <c r="F84" s="4">
        <v>0</v>
      </c>
      <c r="G84" s="10"/>
      <c r="H84" s="10"/>
      <c r="I84" s="10"/>
      <c r="J84" s="3" t="s">
        <v>4</v>
      </c>
    </row>
    <row r="85" spans="1:10" ht="52.3" customHeight="1" x14ac:dyDescent="0.4">
      <c r="A85" s="12">
        <v>45658.373611111114</v>
      </c>
      <c r="B85" s="12"/>
      <c r="C85" s="12"/>
      <c r="D85" s="12">
        <v>45655</v>
      </c>
      <c r="E85" s="12"/>
      <c r="F85" s="4">
        <v>0.25833333333333336</v>
      </c>
      <c r="G85" s="10" t="s">
        <v>67</v>
      </c>
      <c r="H85" s="10"/>
      <c r="I85" s="10"/>
      <c r="J85" s="3" t="s">
        <v>13</v>
      </c>
    </row>
    <row r="86" spans="1:10" ht="38.6" customHeight="1" x14ac:dyDescent="0.4">
      <c r="A86" s="12">
        <v>45763.015277777777</v>
      </c>
      <c r="B86" s="12"/>
      <c r="C86" s="12"/>
      <c r="D86" s="12">
        <v>45760</v>
      </c>
      <c r="E86" s="12"/>
      <c r="F86" s="4">
        <v>0.27500000000000002</v>
      </c>
      <c r="G86" s="10"/>
      <c r="H86" s="10"/>
      <c r="I86" s="10"/>
      <c r="J86" s="3" t="s">
        <v>11</v>
      </c>
    </row>
    <row r="87" spans="1:10" ht="47.15" customHeight="1" x14ac:dyDescent="0.4">
      <c r="A87" s="12"/>
      <c r="B87" s="12"/>
      <c r="C87" s="12"/>
      <c r="D87" s="12"/>
      <c r="E87" s="12"/>
      <c r="F87" s="3"/>
      <c r="G87" s="10"/>
      <c r="H87" s="10"/>
      <c r="I87" s="10"/>
      <c r="J87" s="3"/>
    </row>
    <row r="88" spans="1:10" ht="38.6" customHeight="1" x14ac:dyDescent="0.4">
      <c r="A88" s="12"/>
      <c r="B88" s="12"/>
      <c r="C88" s="12"/>
      <c r="D88" s="12"/>
      <c r="E88" s="12"/>
      <c r="F88" s="3"/>
      <c r="G88" s="10"/>
      <c r="H88" s="10"/>
      <c r="I88" s="10"/>
      <c r="J88" s="3"/>
    </row>
    <row r="89" spans="1:10" ht="38.15" customHeight="1" x14ac:dyDescent="0.4">
      <c r="A89" s="12"/>
      <c r="B89" s="12"/>
      <c r="C89" s="12"/>
      <c r="D89" s="12"/>
      <c r="E89" s="12"/>
      <c r="F89" s="3"/>
      <c r="G89" s="10"/>
      <c r="H89" s="10"/>
      <c r="I89" s="10"/>
      <c r="J89" s="3"/>
    </row>
    <row r="90" spans="1:10" ht="34.299999999999997" customHeight="1" x14ac:dyDescent="0.4">
      <c r="A90" s="12"/>
      <c r="B90" s="12"/>
      <c r="C90" s="12"/>
      <c r="D90" s="12"/>
      <c r="E90" s="12"/>
      <c r="F90" s="3"/>
      <c r="G90" s="10"/>
      <c r="H90" s="10"/>
      <c r="I90" s="10"/>
      <c r="J90" s="3"/>
    </row>
    <row r="91" spans="1:10" ht="39.9" customHeight="1" x14ac:dyDescent="0.4">
      <c r="A91" s="12"/>
      <c r="B91" s="12"/>
      <c r="C91" s="12"/>
      <c r="D91" s="12"/>
      <c r="E91" s="12"/>
      <c r="F91" s="3"/>
      <c r="G91" s="10"/>
      <c r="H91" s="10"/>
      <c r="I91" s="10"/>
      <c r="J91" s="3"/>
    </row>
    <row r="92" spans="1:10" ht="32.6" customHeight="1" x14ac:dyDescent="0.4">
      <c r="A92" s="12"/>
      <c r="B92" s="12"/>
      <c r="C92" s="12"/>
      <c r="D92" s="12"/>
      <c r="E92" s="12"/>
      <c r="F92" s="3"/>
      <c r="G92" s="10"/>
      <c r="H92" s="10"/>
      <c r="I92" s="10"/>
      <c r="J92" s="3"/>
    </row>
    <row r="93" spans="1:10" ht="43.3" customHeight="1" x14ac:dyDescent="0.4">
      <c r="A93" s="12"/>
      <c r="B93" s="12"/>
      <c r="C93" s="12"/>
      <c r="D93" s="12"/>
      <c r="E93" s="12"/>
      <c r="F93" s="3"/>
      <c r="G93" s="10"/>
      <c r="H93" s="10"/>
      <c r="I93" s="10"/>
      <c r="J93" s="3"/>
    </row>
    <row r="94" spans="1:10" x14ac:dyDescent="0.4">
      <c r="A94" s="12"/>
      <c r="B94" s="12"/>
      <c r="C94" s="12"/>
      <c r="D94" s="12"/>
      <c r="E94" s="12"/>
      <c r="F94" s="3"/>
      <c r="G94" s="10"/>
      <c r="H94" s="10"/>
      <c r="I94" s="10"/>
      <c r="J94" s="3"/>
    </row>
    <row r="95" spans="1:10" x14ac:dyDescent="0.4">
      <c r="A95" s="12"/>
      <c r="B95" s="12"/>
      <c r="C95" s="12"/>
      <c r="D95" s="12"/>
      <c r="E95" s="12"/>
      <c r="F95" s="3"/>
      <c r="G95" s="10"/>
      <c r="H95" s="10"/>
      <c r="I95" s="10"/>
      <c r="J95" s="3"/>
    </row>
    <row r="96" spans="1:10" x14ac:dyDescent="0.4">
      <c r="A96" s="12"/>
      <c r="B96" s="12"/>
      <c r="C96" s="12"/>
      <c r="D96" s="12"/>
      <c r="E96" s="12"/>
      <c r="F96" s="3"/>
      <c r="G96" s="10"/>
      <c r="H96" s="10"/>
      <c r="I96" s="10"/>
      <c r="J96" s="3"/>
    </row>
    <row r="97" spans="1:10" x14ac:dyDescent="0.4">
      <c r="A97" s="12"/>
      <c r="B97" s="12"/>
      <c r="C97" s="12"/>
      <c r="D97" s="12"/>
      <c r="E97" s="12"/>
      <c r="F97" s="3"/>
      <c r="G97" s="10"/>
      <c r="H97" s="10"/>
      <c r="I97" s="10"/>
      <c r="J97" s="3"/>
    </row>
    <row r="98" spans="1:10" x14ac:dyDescent="0.4">
      <c r="D98" s="11"/>
      <c r="E98" s="11"/>
      <c r="G98" s="11"/>
      <c r="H98" s="11"/>
      <c r="I98" s="11"/>
    </row>
    <row r="99" spans="1:10" x14ac:dyDescent="0.4">
      <c r="G99" s="11"/>
      <c r="H99" s="11"/>
      <c r="I99" s="11"/>
    </row>
  </sheetData>
  <mergeCells count="294">
    <mergeCell ref="G64:I64"/>
    <mergeCell ref="G65:I65"/>
    <mergeCell ref="G66:I66"/>
    <mergeCell ref="G67:I67"/>
    <mergeCell ref="G68:I68"/>
    <mergeCell ref="G69:I69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G60:I60"/>
    <mergeCell ref="A54:C54"/>
    <mergeCell ref="A55:C55"/>
    <mergeCell ref="A56:C56"/>
    <mergeCell ref="A57:C57"/>
    <mergeCell ref="A58:C58"/>
    <mergeCell ref="G61:I61"/>
    <mergeCell ref="G62:I62"/>
    <mergeCell ref="G63:I63"/>
    <mergeCell ref="G46:I46"/>
    <mergeCell ref="G47:I47"/>
    <mergeCell ref="G48:I48"/>
    <mergeCell ref="G49:I49"/>
    <mergeCell ref="G51:I51"/>
    <mergeCell ref="G52:I52"/>
    <mergeCell ref="G53:I53"/>
    <mergeCell ref="D43:E43"/>
    <mergeCell ref="D44:E44"/>
    <mergeCell ref="D45:E45"/>
    <mergeCell ref="D46:E46"/>
    <mergeCell ref="D47:E47"/>
    <mergeCell ref="D48:E48"/>
    <mergeCell ref="D49:E49"/>
    <mergeCell ref="D51:E51"/>
    <mergeCell ref="A46:C46"/>
    <mergeCell ref="A47:C47"/>
    <mergeCell ref="A48:C48"/>
    <mergeCell ref="A49:C49"/>
    <mergeCell ref="A51:C51"/>
    <mergeCell ref="D52:E52"/>
    <mergeCell ref="D53:E53"/>
    <mergeCell ref="D54:E54"/>
    <mergeCell ref="D56:E56"/>
    <mergeCell ref="D55:E55"/>
    <mergeCell ref="A41:C41"/>
    <mergeCell ref="D41:E41"/>
    <mergeCell ref="G41:I41"/>
    <mergeCell ref="A42:C42"/>
    <mergeCell ref="D42:E42"/>
    <mergeCell ref="G42:I42"/>
    <mergeCell ref="G43:I43"/>
    <mergeCell ref="G44:I44"/>
    <mergeCell ref="G45:I45"/>
    <mergeCell ref="A43:C43"/>
    <mergeCell ref="A44:C44"/>
    <mergeCell ref="A45:C45"/>
    <mergeCell ref="G1:I1"/>
    <mergeCell ref="G2:I2"/>
    <mergeCell ref="A40:C40"/>
    <mergeCell ref="D40:E40"/>
    <mergeCell ref="G40:I40"/>
    <mergeCell ref="A3:C3"/>
    <mergeCell ref="D3:E3"/>
    <mergeCell ref="G3:I3"/>
    <mergeCell ref="A4:C4"/>
    <mergeCell ref="A5:C5"/>
    <mergeCell ref="A6:C6"/>
    <mergeCell ref="D4:E4"/>
    <mergeCell ref="D5:E5"/>
    <mergeCell ref="D6:E6"/>
    <mergeCell ref="A13:C13"/>
    <mergeCell ref="A14:C14"/>
    <mergeCell ref="A15:C15"/>
    <mergeCell ref="A16:C16"/>
    <mergeCell ref="A17:C17"/>
    <mergeCell ref="A18:C18"/>
    <mergeCell ref="A11:C11"/>
    <mergeCell ref="A12:C12"/>
    <mergeCell ref="D14:E14"/>
    <mergeCell ref="D15:E15"/>
    <mergeCell ref="D16:E16"/>
    <mergeCell ref="A1:C1"/>
    <mergeCell ref="D1:F1"/>
    <mergeCell ref="D2:E2"/>
    <mergeCell ref="A2:C2"/>
    <mergeCell ref="G20:I20"/>
    <mergeCell ref="D17:E17"/>
    <mergeCell ref="D18:E18"/>
    <mergeCell ref="D7:E7"/>
    <mergeCell ref="D8:E8"/>
    <mergeCell ref="D9:E9"/>
    <mergeCell ref="D10:E10"/>
    <mergeCell ref="D11:E11"/>
    <mergeCell ref="D12:E12"/>
    <mergeCell ref="G16:I16"/>
    <mergeCell ref="G17:I17"/>
    <mergeCell ref="G18:I18"/>
    <mergeCell ref="N1:O1"/>
    <mergeCell ref="A19:C19"/>
    <mergeCell ref="D19:E19"/>
    <mergeCell ref="G19:I19"/>
    <mergeCell ref="G10:I10"/>
    <mergeCell ref="G11:I11"/>
    <mergeCell ref="G12:I12"/>
    <mergeCell ref="G13:I13"/>
    <mergeCell ref="G14:I14"/>
    <mergeCell ref="G15:I15"/>
    <mergeCell ref="G4:I4"/>
    <mergeCell ref="G5:I5"/>
    <mergeCell ref="G6:I6"/>
    <mergeCell ref="G7:I7"/>
    <mergeCell ref="G8:I8"/>
    <mergeCell ref="G9:I9"/>
    <mergeCell ref="D13:E13"/>
    <mergeCell ref="A7:C7"/>
    <mergeCell ref="A8:C8"/>
    <mergeCell ref="A9:C9"/>
    <mergeCell ref="A10:C10"/>
    <mergeCell ref="D20:E20"/>
    <mergeCell ref="D21:E21"/>
    <mergeCell ref="D22:E22"/>
    <mergeCell ref="D23:E23"/>
    <mergeCell ref="D24:E24"/>
    <mergeCell ref="D25:E25"/>
    <mergeCell ref="D26:E26"/>
    <mergeCell ref="D27:E27"/>
    <mergeCell ref="A32:C32"/>
    <mergeCell ref="A26:C26"/>
    <mergeCell ref="A27:C27"/>
    <mergeCell ref="A28:C28"/>
    <mergeCell ref="A29:C29"/>
    <mergeCell ref="A30:C30"/>
    <mergeCell ref="A31:C31"/>
    <mergeCell ref="A20:C20"/>
    <mergeCell ref="A21:C21"/>
    <mergeCell ref="A23:C23"/>
    <mergeCell ref="A24:C24"/>
    <mergeCell ref="A25:C25"/>
    <mergeCell ref="A22:C22"/>
    <mergeCell ref="D39:E39"/>
    <mergeCell ref="D28:E28"/>
    <mergeCell ref="D29:E29"/>
    <mergeCell ref="D30:E30"/>
    <mergeCell ref="D31:E31"/>
    <mergeCell ref="D32:E32"/>
    <mergeCell ref="D33:E33"/>
    <mergeCell ref="A38:C38"/>
    <mergeCell ref="A39:C39"/>
    <mergeCell ref="A33:C33"/>
    <mergeCell ref="A34:C34"/>
    <mergeCell ref="A35:C35"/>
    <mergeCell ref="A36:C36"/>
    <mergeCell ref="A37:C37"/>
    <mergeCell ref="G21:I21"/>
    <mergeCell ref="G22:I22"/>
    <mergeCell ref="G23:I23"/>
    <mergeCell ref="G24:I24"/>
    <mergeCell ref="G25:I25"/>
    <mergeCell ref="D34:E34"/>
    <mergeCell ref="D35:E35"/>
    <mergeCell ref="D36:E36"/>
    <mergeCell ref="G38:I38"/>
    <mergeCell ref="D37:E37"/>
    <mergeCell ref="D38:E38"/>
    <mergeCell ref="G39:I39"/>
    <mergeCell ref="G32:I32"/>
    <mergeCell ref="G33:I33"/>
    <mergeCell ref="G34:I34"/>
    <mergeCell ref="G35:I35"/>
    <mergeCell ref="G36:I36"/>
    <mergeCell ref="G37:I37"/>
    <mergeCell ref="G26:I26"/>
    <mergeCell ref="G27:I27"/>
    <mergeCell ref="G28:I28"/>
    <mergeCell ref="G29:I29"/>
    <mergeCell ref="G30:I30"/>
    <mergeCell ref="G31:I31"/>
    <mergeCell ref="L50:O50"/>
    <mergeCell ref="A70:C70"/>
    <mergeCell ref="A71:C71"/>
    <mergeCell ref="A72:C72"/>
    <mergeCell ref="A73:C73"/>
    <mergeCell ref="A74:C74"/>
    <mergeCell ref="A75:C75"/>
    <mergeCell ref="A76:C76"/>
    <mergeCell ref="A77:C77"/>
    <mergeCell ref="A52:C52"/>
    <mergeCell ref="A53:C53"/>
    <mergeCell ref="A50:J50"/>
    <mergeCell ref="D57:E57"/>
    <mergeCell ref="D58:E58"/>
    <mergeCell ref="G54:I54"/>
    <mergeCell ref="G55:I55"/>
    <mergeCell ref="G56:I56"/>
    <mergeCell ref="G57:I57"/>
    <mergeCell ref="G58:I58"/>
    <mergeCell ref="A59:C59"/>
    <mergeCell ref="D59:E59"/>
    <mergeCell ref="G59:I59"/>
    <mergeCell ref="A60:C60"/>
    <mergeCell ref="D60:E60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96:I96"/>
    <mergeCell ref="G97:I97"/>
    <mergeCell ref="G98:I98"/>
    <mergeCell ref="G99:I99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</mergeCells>
  <phoneticPr fontId="6" type="noConversion"/>
  <conditionalFormatting sqref="J1:J49 J51:J1048576">
    <cfRule type="containsText" dxfId="3" priority="1" operator="containsText" text="N">
      <formula>NOT(ISERROR(SEARCH("N",J1)))</formula>
    </cfRule>
    <cfRule type="containsText" dxfId="2" priority="2" operator="containsText" text="Y3">
      <formula>NOT(ISERROR(SEARCH("Y3",J1)))</formula>
    </cfRule>
    <cfRule type="containsText" dxfId="1" priority="3" operator="containsText" text="Y2">
      <formula>NOT(ISERROR(SEARCH("Y2",J1)))</formula>
    </cfRule>
    <cfRule type="containsText" dxfId="0" priority="4" operator="containsText" text="Y1">
      <formula>NOT(ISERROR(SEARCH("Y1",J1)))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25FA-64CB-4621-9B63-5D085F8670C6}">
  <dimension ref="A1:H15"/>
  <sheetViews>
    <sheetView tabSelected="1" workbookViewId="0">
      <selection activeCell="E6" sqref="E6"/>
    </sheetView>
  </sheetViews>
  <sheetFormatPr defaultRowHeight="14.6" x14ac:dyDescent="0.4"/>
  <cols>
    <col min="1" max="1" width="30.3046875" customWidth="1"/>
    <col min="2" max="2" width="20.53515625" customWidth="1"/>
    <col min="3" max="3" width="28.07421875" style="3" customWidth="1"/>
    <col min="4" max="4" width="21.3046875" style="3" customWidth="1"/>
    <col min="5" max="5" width="23.07421875" style="3" customWidth="1"/>
    <col min="6" max="6" width="17.3046875" style="3" customWidth="1"/>
    <col min="7" max="7" width="16.15234375" style="3" customWidth="1"/>
    <col min="8" max="8" width="19.765625" style="3" customWidth="1"/>
  </cols>
  <sheetData>
    <row r="1" spans="1:8" ht="54.9" customHeight="1" x14ac:dyDescent="0.4">
      <c r="A1" s="3" t="s">
        <v>70</v>
      </c>
      <c r="B1" s="3" t="s">
        <v>73</v>
      </c>
      <c r="C1" s="3" t="s">
        <v>74</v>
      </c>
      <c r="D1" s="3" t="s">
        <v>71</v>
      </c>
      <c r="E1" s="3" t="s">
        <v>72</v>
      </c>
      <c r="F1" s="3" t="s">
        <v>75</v>
      </c>
      <c r="G1" s="3" t="s">
        <v>76</v>
      </c>
      <c r="H1" s="3" t="s">
        <v>78</v>
      </c>
    </row>
    <row r="2" spans="1:8" ht="47.15" customHeight="1" x14ac:dyDescent="0.4">
      <c r="A2" s="20">
        <v>42176</v>
      </c>
      <c r="B2" s="1">
        <v>0.10769675925925926</v>
      </c>
      <c r="C2" s="4">
        <v>0.17916666666666667</v>
      </c>
      <c r="D2" s="3">
        <v>1366</v>
      </c>
      <c r="E2" s="3">
        <v>974</v>
      </c>
      <c r="F2" s="3">
        <f>ABS(D2-E2)</f>
        <v>392</v>
      </c>
      <c r="G2" s="3" t="s">
        <v>77</v>
      </c>
      <c r="H2" s="3">
        <v>340</v>
      </c>
    </row>
    <row r="3" spans="1:8" ht="44.6" customHeight="1" x14ac:dyDescent="0.4">
      <c r="F3" s="3">
        <f t="shared" ref="F3:F5" si="0">ABS(D3-E3)</f>
        <v>0</v>
      </c>
    </row>
    <row r="4" spans="1:8" ht="49.75" customHeight="1" x14ac:dyDescent="0.4">
      <c r="F4" s="3">
        <f t="shared" si="0"/>
        <v>0</v>
      </c>
    </row>
    <row r="5" spans="1:8" ht="51.45" customHeight="1" x14ac:dyDescent="0.4">
      <c r="F5" s="3">
        <f t="shared" si="0"/>
        <v>0</v>
      </c>
    </row>
    <row r="6" spans="1:8" ht="51.45" customHeight="1" x14ac:dyDescent="0.4"/>
    <row r="7" spans="1:8" ht="44.6" customHeight="1" x14ac:dyDescent="0.4"/>
    <row r="8" spans="1:8" ht="47.6" customHeight="1" x14ac:dyDescent="0.4"/>
    <row r="9" spans="1:8" ht="50.15" customHeight="1" x14ac:dyDescent="0.4"/>
    <row r="10" spans="1:8" ht="55.3" customHeight="1" x14ac:dyDescent="0.4"/>
    <row r="11" spans="1:8" ht="42.9" customHeight="1" x14ac:dyDescent="0.4"/>
    <row r="12" spans="1:8" ht="48.45" customHeight="1" x14ac:dyDescent="0.4"/>
    <row r="13" spans="1:8" ht="48" customHeight="1" x14ac:dyDescent="0.4"/>
    <row r="14" spans="1:8" ht="44.6" customHeight="1" x14ac:dyDescent="0.4"/>
    <row r="15" spans="1:8" ht="49.3" customHeight="1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Ideal CME catalog</vt:lpstr>
      <vt:lpstr>cactus CME 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Lukáš Randuška</dc:creator>
  <cp:lastModifiedBy>Lukáš Randuška</cp:lastModifiedBy>
  <dcterms:created xsi:type="dcterms:W3CDTF">2025-09-05T09:45:36Z</dcterms:created>
  <dcterms:modified xsi:type="dcterms:W3CDTF">2026-02-23T15:55:37Z</dcterms:modified>
</cp:coreProperties>
</file>